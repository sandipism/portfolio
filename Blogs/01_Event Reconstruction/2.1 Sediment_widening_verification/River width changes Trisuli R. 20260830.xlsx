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ネパール260827\"/>
    </mc:Choice>
  </mc:AlternateContent>
  <xr:revisionPtr revIDLastSave="0" documentId="13_ncr:1_{BFBB98E8-BFCA-49A8-8DBB-E81CD7F85C93}" xr6:coauthVersionLast="47" xr6:coauthVersionMax="47" xr10:uidLastSave="{00000000-0000-0000-0000-000000000000}"/>
  <bookViews>
    <workbookView xWindow="3072" yWindow="3072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7" i="1" s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<sst xmlns="http://schemas.openxmlformats.org/spreadsheetml/2006/main" count="23" uniqueCount="23">
  <si>
    <t>River width change of Trishuli River (Betrawati-Benighat)</t>
    <phoneticPr fontId="1"/>
  </si>
  <si>
    <t>A</t>
    <phoneticPr fontId="1"/>
  </si>
  <si>
    <t>Location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</si>
  <si>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</si>
  <si>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</si>
  <si>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</si>
  <si>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</si>
  <si>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G</t>
    <phoneticPr fontId="1"/>
  </si>
  <si>
    <t>H</t>
    <phoneticPr fontId="1"/>
  </si>
  <si>
    <t>J</t>
    <phoneticPr fontId="1"/>
  </si>
  <si>
    <t>K</t>
    <phoneticPr fontId="1"/>
  </si>
  <si>
    <t>L</t>
    <phoneticPr fontId="1"/>
  </si>
  <si>
    <t>Devighat</t>
    <phoneticPr fontId="1"/>
  </si>
  <si>
    <t>elevation(m)</t>
    <phoneticPr fontId="1"/>
  </si>
  <si>
    <t>width(m) Jan 2026</t>
    <phoneticPr fontId="1"/>
  </si>
  <si>
    <t>width(m) 28  Aug. 2026</t>
    <phoneticPr fontId="1"/>
  </si>
  <si>
    <t>D/C</t>
    <phoneticPr fontId="1"/>
  </si>
  <si>
    <t>average</t>
    <phoneticPr fontId="1"/>
  </si>
  <si>
    <t>F(Betrawati)</t>
    <phoneticPr fontId="1"/>
  </si>
  <si>
    <t>I(Trisuli)</t>
    <phoneticPr fontId="1"/>
  </si>
  <si>
    <t>Rivebed width changes of Trishuli River comparing the images of Jan. 2026(Google Earth) and the Landsat 9 *</t>
    <phoneticPr fontId="1"/>
  </si>
  <si>
    <t>https://soaratlas.com/maps/asia-china-india-satellite-imagery-over-nepal-after-floods-august-26-2026-142663?pos=28.287277243981105%2C85.52502635590825%2C14&amp;basemap=Google+Satellite</t>
    <phoneticPr fontId="1"/>
  </si>
  <si>
    <t>* image: Soaratlas (下記）</t>
    <rPh sb="20" eb="22">
      <t>カキ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</si>
</sst>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76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1" applyAlignment="1">
      <alignment horizont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aratlas.com/maps/asia-china-india-satellite-imagery-over-nepal-after-floods-august-26-2026-142663?pos=28.287277243981105%2C85.52502635590825%2C14&amp;basemap=Google+Satell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8" workbookViewId="0">
      <selection activeCell="L19" sqref="L19"/>
    </sheetView>
  </sheetViews>
  <sheetFormatPr defaultRowHeight="18"/>
  <cols>
    <col min="1" max="1" width="11.69921875" customWidth="1"/>
    <col min="2" max="2" width="11.19921875" customWidth="1"/>
    <col min="3" max="3" width="16.5" customWidth="1"/>
    <col min="4" max="4" width="21.59765625" customWidth="1"/>
    <col min="5" max="5" width="9.19921875" customWidth="1"/>
    <col min="9" max="9" width="8.69921875" customWidth="1"/>
    <col min="11" max="11" width="13.09765625" customWidth="1"/>
  </cols>
  <sheetData>
    <row r="1" spans="1:11">
      <c r="A1" t="s">
        <v>0</v>
      </c>
    </row>
    <row r="2" spans="1:11">
      <c r="A2" s="3" t="s">
        <v>20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1" t="s">
        <v>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11">
      <c r="A4" s="1" t="s">
        <v>1</v>
      </c>
      <c r="B4" s="1">
        <v>736</v>
      </c>
      <c r="C4" s="1">
        <v>100</v>
      </c>
      <c r="D4" s="1">
        <v>250</v>
      </c>
      <c r="E4" s="2">
        <f t="shared" ref="E4:E16" si="0">D4/C4</f>
        <v>2.5</v>
      </c>
    </row>
    <row r="5" spans="1:11">
      <c r="A5" s="1" t="s">
        <v>3</v>
      </c>
      <c r="B5" s="1">
        <v>684</v>
      </c>
      <c r="C5" s="1">
        <v>90</v>
      </c>
      <c r="D5" s="1">
        <v>330</v>
      </c>
      <c r="E5" s="2">
        <f t="shared" si="0"/>
        <v>3.6666666666666665</v>
      </c>
    </row>
    <row r="6" spans="1:11">
      <c r="A6" s="1" t="s">
        <v>4</v>
      </c>
      <c r="B6" s="1">
        <v>663</v>
      </c>
      <c r="C6" s="1">
        <v>170</v>
      </c>
      <c r="D6" s="1">
        <v>370</v>
      </c>
      <c r="E6" s="2">
        <f t="shared" si="0"/>
        <v>2.1764705882352939</v>
      </c>
    </row>
    <row r="7" spans="1:11">
      <c r="A7" s="1" t="s">
        <v>5</v>
      </c>
      <c r="B7" s="1">
        <v>662</v>
      </c>
      <c r="C7" s="1">
        <v>130</v>
      </c>
      <c r="D7" s="1">
        <v>300</v>
      </c>
      <c r="E7" s="2">
        <f t="shared" si="0"/>
        <v>2.3076923076923075</v>
      </c>
    </row>
    <row r="8" spans="1:11">
      <c r="A8" s="1" t="s">
        <v>6</v>
      </c>
      <c r="B8" s="1">
        <v>627</v>
      </c>
      <c r="C8" s="1">
        <v>110</v>
      </c>
      <c r="D8" s="1">
        <v>370</v>
      </c>
      <c r="E8" s="2">
        <f t="shared" si="0"/>
        <v>3.3636363636363638</v>
      </c>
    </row>
    <row r="9" spans="1:11">
      <c r="A9" s="1" t="s">
        <v>18</v>
      </c>
      <c r="B9" s="1">
        <v>632</v>
      </c>
      <c r="C9" s="1">
        <v>70</v>
      </c>
      <c r="D9" s="1">
        <v>300</v>
      </c>
      <c r="E9" s="2">
        <f t="shared" si="0"/>
        <v>4.2857142857142856</v>
      </c>
    </row>
    <row r="10" spans="1:11">
      <c r="A10" s="1" t="s">
        <v>7</v>
      </c>
      <c r="B10" s="1">
        <v>573</v>
      </c>
      <c r="C10" s="1">
        <v>60</v>
      </c>
      <c r="D10" s="1">
        <v>330</v>
      </c>
      <c r="E10" s="2">
        <f t="shared" si="0"/>
        <v>5.5</v>
      </c>
    </row>
    <row r="11" spans="1:11">
      <c r="A11" s="1" t="s">
        <v>8</v>
      </c>
      <c r="B11" s="1">
        <v>536</v>
      </c>
      <c r="C11" s="1">
        <v>60</v>
      </c>
      <c r="D11" s="1">
        <v>350</v>
      </c>
      <c r="E11" s="2">
        <f t="shared" si="0"/>
        <v>5.833333333333333</v>
      </c>
    </row>
    <row r="12" spans="1:11">
      <c r="A12" s="1" t="s">
        <v>19</v>
      </c>
      <c r="B12" s="1">
        <v>527</v>
      </c>
      <c r="C12" s="1">
        <v>60</v>
      </c>
      <c r="D12" s="1">
        <v>350</v>
      </c>
      <c r="E12" s="2">
        <f t="shared" si="0"/>
        <v>5.833333333333333</v>
      </c>
    </row>
    <row r="13" spans="1:11">
      <c r="A13" s="1" t="s">
        <v>9</v>
      </c>
      <c r="B13" s="1">
        <v>507</v>
      </c>
      <c r="C13" s="1">
        <v>80</v>
      </c>
      <c r="D13" s="1">
        <v>330</v>
      </c>
      <c r="E13" s="2">
        <f t="shared" si="0"/>
        <v>4.125</v>
      </c>
    </row>
    <row r="14" spans="1:11">
      <c r="A14" s="1" t="s">
        <v>10</v>
      </c>
      <c r="B14" s="1">
        <v>492</v>
      </c>
      <c r="C14" s="1">
        <v>90</v>
      </c>
      <c r="D14" s="1">
        <v>320</v>
      </c>
      <c r="E14" s="2">
        <f t="shared" si="0"/>
        <v>3.5555555555555554</v>
      </c>
    </row>
    <row r="15" spans="1:11">
      <c r="A15" s="1" t="s">
        <v>11</v>
      </c>
      <c r="B15" s="1">
        <v>485</v>
      </c>
      <c r="C15" s="1">
        <v>120</v>
      </c>
      <c r="D15" s="1">
        <v>380</v>
      </c>
      <c r="E15" s="2">
        <f t="shared" si="0"/>
        <v>3.1666666666666665</v>
      </c>
    </row>
    <row r="16" spans="1:11">
      <c r="A16" s="1" t="s">
        <v>12</v>
      </c>
      <c r="B16" s="1">
        <v>460</v>
      </c>
      <c r="C16" s="1">
        <v>120</v>
      </c>
      <c r="D16" s="1">
        <v>420</v>
      </c>
      <c r="E16" s="2">
        <f t="shared" si="0"/>
        <v>3.5</v>
      </c>
    </row>
    <row r="17" spans="1:9">
      <c r="A17" s="1" t="s">
        <v>17</v>
      </c>
      <c r="B17" s="1"/>
      <c r="C17" s="1"/>
      <c r="D17" s="1"/>
      <c r="E17" s="2">
        <f>AVERAGE(E4:E16)</f>
        <v>3.8318514692949082</v>
      </c>
    </row>
    <row r="19" spans="1:9">
      <c r="A19" s="4" t="s">
        <v>22</v>
      </c>
      <c r="B19" s="4"/>
      <c r="C19" s="4"/>
    </row>
    <row r="20" spans="1:9" ht="41.55" customHeight="1">
      <c r="A20" s="5" t="s">
        <v>21</v>
      </c>
      <c r="B20" s="5"/>
      <c r="C20" s="5"/>
      <c r="D20" s="5"/>
      <c r="E20" s="5"/>
      <c r="F20" s="5"/>
      <c r="G20" s="5"/>
      <c r="H20" s="5"/>
      <c r="I20" s="5"/>
    </row>
  </sheetData>
  <mergeCells count="3">
    <mergeCell ref="A2:K2"/>
    <mergeCell ref="A19:C19"/>
    <mergeCell ref="A20:I20"/>
  </mergeCells>
  <phoneticPr fontId="1"/>
  <hyperlinks>
    <hyperlink ref="A20" r:id="rId1" xr:uid="{4D29D662-DB8A-4178-9D9E-5FC0C93062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檜垣 大助</dc:creator>
  <cp:lastModifiedBy>大助 檜垣</cp:lastModifiedBy>
  <dcterms:created xsi:type="dcterms:W3CDTF">2015-06-05T18:19:34Z</dcterms:created>
  <dcterms:modified xsi:type="dcterms:W3CDTF">2026-08-30T00:56:16Z</dcterms:modified>
</cp:coreProperties>
</file>